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it1-my.sharepoint.com/personal/ud69191_student_vit_edu_au/Documents/VIT/Semester 02/ICT710 - Interaction Design and Usability/Assignment 03/ict710-a3-binance-redesign/Usability Test Report/"/>
    </mc:Choice>
  </mc:AlternateContent>
  <xr:revisionPtr revIDLastSave="6" documentId="13_ncr:1_{27DE802F-CBC3-4983-8145-677597E6A1CF}" xr6:coauthVersionLast="47" xr6:coauthVersionMax="47" xr10:uidLastSave="{2451C031-54BF-435C-9CD4-D04533337480}"/>
  <bookViews>
    <workbookView xWindow="-25320" yWindow="-120" windowWidth="25440" windowHeight="15270" tabRatio="500" xr2:uid="{00000000-000D-0000-FFFF-FFFF00000000}"/>
  </bookViews>
  <sheets>
    <sheet name="Results" sheetId="2" r:id="rId1"/>
    <sheet name="Raw Dat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2" l="1"/>
  <c r="A23" i="2"/>
  <c r="B22" i="2"/>
  <c r="A22" i="2"/>
  <c r="B21" i="2"/>
  <c r="A21" i="2"/>
  <c r="B20" i="2"/>
  <c r="A20" i="2"/>
  <c r="B19" i="2"/>
  <c r="A19" i="2"/>
  <c r="S9" i="2"/>
  <c r="L9" i="2" s="1"/>
  <c r="P9" i="2"/>
  <c r="Q9" i="2" s="1"/>
  <c r="D9" i="2"/>
  <c r="C23" i="2" s="1"/>
  <c r="S8" i="2"/>
  <c r="L8" i="2" s="1"/>
  <c r="P8" i="2"/>
  <c r="F22" i="2" s="1"/>
  <c r="D8" i="2"/>
  <c r="C22" i="2" s="1"/>
  <c r="S7" i="2"/>
  <c r="H7" i="2" s="1"/>
  <c r="D21" i="2" s="1"/>
  <c r="P7" i="2"/>
  <c r="Q7" i="2" s="1"/>
  <c r="D7" i="2"/>
  <c r="C21" i="2" s="1"/>
  <c r="S6" i="2"/>
  <c r="R6" i="2" s="1"/>
  <c r="P6" i="2"/>
  <c r="F20" i="2" s="1"/>
  <c r="D6" i="2"/>
  <c r="E6" i="2" s="1"/>
  <c r="S5" i="2"/>
  <c r="R5" i="2" s="1"/>
  <c r="P5" i="2"/>
  <c r="Q5" i="2" s="1"/>
  <c r="D5" i="2"/>
  <c r="C19" i="2" s="1"/>
  <c r="R8" i="2" l="1"/>
  <c r="L7" i="2"/>
  <c r="M7" i="2" s="1"/>
  <c r="R7" i="2"/>
  <c r="B14" i="2"/>
  <c r="H6" i="2"/>
  <c r="D20" i="2" s="1"/>
  <c r="L6" i="2"/>
  <c r="E20" i="2" s="1"/>
  <c r="H5" i="2"/>
  <c r="D19" i="2" s="1"/>
  <c r="L5" i="2"/>
  <c r="E19" i="2" s="1"/>
  <c r="H8" i="2"/>
  <c r="I8" i="2" s="1"/>
  <c r="E23" i="2"/>
  <c r="M9" i="2"/>
  <c r="M8" i="2"/>
  <c r="E22" i="2"/>
  <c r="E7" i="2"/>
  <c r="Q8" i="2"/>
  <c r="B15" i="2"/>
  <c r="F19" i="2"/>
  <c r="F23" i="2"/>
  <c r="I7" i="2"/>
  <c r="E8" i="2"/>
  <c r="R9" i="2"/>
  <c r="C20" i="2"/>
  <c r="E5" i="2"/>
  <c r="Q6" i="2"/>
  <c r="E9" i="2"/>
  <c r="F21" i="2"/>
  <c r="H9" i="2"/>
  <c r="M5" i="2" l="1"/>
  <c r="E21" i="2"/>
  <c r="M6" i="2"/>
  <c r="I5" i="2"/>
  <c r="D22" i="2"/>
  <c r="I6" i="2"/>
  <c r="D23" i="2"/>
  <c r="I9" i="2"/>
  <c r="B12" i="2" l="1"/>
  <c r="B13" i="2"/>
</calcChain>
</file>

<file path=xl/sharedStrings.xml><?xml version="1.0" encoding="utf-8"?>
<sst xmlns="http://schemas.openxmlformats.org/spreadsheetml/2006/main" count="167" uniqueCount="69">
  <si>
    <t>Results vs Assessment 2 baseline and targets</t>
  </si>
  <si>
    <t>Targets (yellow) match report Section 1.3. Calculated from the Raw Data sheet.</t>
  </si>
  <si>
    <t>Task</t>
  </si>
  <si>
    <t>A2 baseline time (s)</t>
  </si>
  <si>
    <t>Target time (s)</t>
  </si>
  <si>
    <t>Result: avg time (s)</t>
  </si>
  <si>
    <t>Time target</t>
  </si>
  <si>
    <t>A2 baseline errors</t>
  </si>
  <si>
    <t>Target errors</t>
  </si>
  <si>
    <t>Result: total errors</t>
  </si>
  <si>
    <t>Errors target</t>
  </si>
  <si>
    <t>A2 assistance</t>
  </si>
  <si>
    <t>Target assistance</t>
  </si>
  <si>
    <t>Result: assistance</t>
  </si>
  <si>
    <t>Assistance target</t>
  </si>
  <si>
    <t>A2 ease</t>
  </si>
  <si>
    <t>Target ease</t>
  </si>
  <si>
    <t>Result: avg ease</t>
  </si>
  <si>
    <t>Ease target</t>
  </si>
  <si>
    <t>Completion rate</t>
  </si>
  <si>
    <t>Attempts</t>
  </si>
  <si>
    <t>Search</t>
  </si>
  <si>
    <t>Buy</t>
  </si>
  <si>
    <t>Sell</t>
  </si>
  <si>
    <t>Bank transfer</t>
  </si>
  <si>
    <t>Chatbot</t>
  </si>
  <si>
    <t>Summary</t>
  </si>
  <si>
    <t>Targets met (of 20 = 5 tasks × 4 measures)</t>
  </si>
  <si>
    <t>Targets missed</t>
  </si>
  <si>
    <t>Overall completion rate (completed ÷ attempts)</t>
  </si>
  <si>
    <t>Total attempts entered (max 25)</t>
  </si>
  <si>
    <t>Report table – copy into Table 5.4 (Time | Errors | Assistance | Ease)</t>
  </si>
  <si>
    <t>A2 time → target</t>
  </si>
  <si>
    <t>Time (s)</t>
  </si>
  <si>
    <t>Errors</t>
  </si>
  <si>
    <t>Assistance</t>
  </si>
  <si>
    <t>Ease (1–5)</t>
  </si>
  <si>
    <t>Participant</t>
  </si>
  <si>
    <t>Completed (Y/N)</t>
  </si>
  <si>
    <t>Errors (count)</t>
  </si>
  <si>
    <t>Help needed (Y/N)</t>
  </si>
  <si>
    <t>V1</t>
  </si>
  <si>
    <t>V2</t>
  </si>
  <si>
    <t>V3</t>
  </si>
  <si>
    <t>V4</t>
  </si>
  <si>
    <t>V5</t>
  </si>
  <si>
    <t>Y</t>
  </si>
  <si>
    <t>N</t>
  </si>
  <si>
    <t>Comment</t>
  </si>
  <si>
    <t>Ease (1-5)</t>
  </si>
  <si>
    <t>This looks familiar</t>
  </si>
  <si>
    <t>Easy</t>
  </si>
  <si>
    <t>Clearly stated</t>
  </si>
  <si>
    <t>Easy to find and navigate</t>
  </si>
  <si>
    <t>Better</t>
  </si>
  <si>
    <t>Simple</t>
  </si>
  <si>
    <t>easy few steps</t>
  </si>
  <si>
    <t>Easy to find the next step</t>
  </si>
  <si>
    <t>Similar AI icon</t>
  </si>
  <si>
    <t>Easy steps</t>
  </si>
  <si>
    <t>not confusing at all</t>
  </si>
  <si>
    <t>Well structured home screen</t>
  </si>
  <si>
    <t>much easier</t>
  </si>
  <si>
    <t>fewer steps</t>
  </si>
  <si>
    <t>Feels easy</t>
  </si>
  <si>
    <t>Familiar icon</t>
  </si>
  <si>
    <t>Very easy to find all without getting confuse</t>
  </si>
  <si>
    <t>Much better</t>
  </si>
  <si>
    <t>Easy to navitage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</si>
</sst>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1F386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2" sqref="I22"/>
    </sheetView>
  </sheetViews>
  <sheetFormatPr defaultColWidth="8.6328125" defaultRowHeight="14.5" x14ac:dyDescent="0.35"/>
  <cols>
    <col min="1" max="1" width="34" customWidth="1"/>
    <col min="2" max="19" width="13" customWidth="1"/>
  </cols>
  <sheetData>
    <row r="1" spans="1:19" ht="18" x14ac:dyDescent="0.4">
      <c r="A1" s="1" t="s">
        <v>0</v>
      </c>
    </row>
    <row r="2" spans="1:19" x14ac:dyDescent="0.35">
      <c r="A2" s="2" t="s">
        <v>1</v>
      </c>
    </row>
    <row r="4" spans="1:19" ht="43.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x14ac:dyDescent="0.35">
      <c r="A5" s="4" t="s">
        <v>21</v>
      </c>
      <c r="B5" s="5">
        <v>12.4</v>
      </c>
      <c r="C5" s="6">
        <v>10</v>
      </c>
      <c r="D5" s="7">
        <f>IFERROR(AVERAGEIFS('Raw Data'!$D$2:$D$26,'Raw Data'!$B$2:$B$26,$A5),"")</f>
        <v>3.2</v>
      </c>
      <c r="E5" s="8" t="str">
        <f>IF(D5="","",IF(D5&lt;=C5,"Met","Missed"))</f>
        <v>Met</v>
      </c>
      <c r="F5" s="9">
        <v>4</v>
      </c>
      <c r="G5" s="10">
        <v>2</v>
      </c>
      <c r="H5" s="11">
        <f>IF(S5=0,"",SUMIFS('Raw Data'!$E$2:$E$26,'Raw Data'!$B$2:$B$26,$A5))</f>
        <v>0</v>
      </c>
      <c r="I5" s="8" t="str">
        <f>IF(H5="","",IF(H5&lt;=G5,"Met","Missed"))</f>
        <v>Met</v>
      </c>
      <c r="J5" s="12">
        <v>0.2</v>
      </c>
      <c r="K5" s="13">
        <v>0</v>
      </c>
      <c r="L5" s="14">
        <f>IF(S5=0,"",COUNTIFS('Raw Data'!$B$2:$B$26,$A5,'Raw Data'!$F$2:$F$26,"Y")/S5)</f>
        <v>0</v>
      </c>
      <c r="M5" s="8" t="str">
        <f>IF(L5="","",IF(L5&lt;=K5,"Met","Missed"))</f>
        <v>Met</v>
      </c>
      <c r="N5" s="5">
        <v>4.2</v>
      </c>
      <c r="O5" s="6">
        <v>4.2</v>
      </c>
      <c r="P5" s="7">
        <f>IFERROR(AVERAGEIFS('Raw Data'!$G$2:$G$26,'Raw Data'!$B$2:$B$26,$A5),"")</f>
        <v>5</v>
      </c>
      <c r="Q5" s="8" t="str">
        <f>IF(P5="","",IF(P5&gt;=O5,"Met","Missed"))</f>
        <v>Met</v>
      </c>
      <c r="R5" s="14">
        <f>IF(S5=0,"",COUNTIFS('Raw Data'!$B$2:$B$26,$A5,'Raw Data'!$C$2:$C$26,"Y")/S5)</f>
        <v>1</v>
      </c>
      <c r="S5" s="9">
        <f>(COUNTIFS('Raw Data'!$B$2:$B$26,$A5,'Raw Data'!$C$2:$C$26,"Y")+COUNTIFS('Raw Data'!$B$2:$B$26,$A5,'Raw Data'!$C$2:$C$26,"N"))</f>
        <v>5</v>
      </c>
    </row>
    <row r="6" spans="1:19" x14ac:dyDescent="0.35">
      <c r="A6" s="4" t="s">
        <v>22</v>
      </c>
      <c r="B6" s="5">
        <v>69.400000000000006</v>
      </c>
      <c r="C6" s="6">
        <v>45</v>
      </c>
      <c r="D6" s="7">
        <f>IFERROR(AVERAGEIFS('Raw Data'!$D$2:$D$26,'Raw Data'!$B$2:$B$26,$A6),"")</f>
        <v>29.6</v>
      </c>
      <c r="E6" s="8" t="str">
        <f>IF(D6="","",IF(D6&lt;=C6,"Met","Missed"))</f>
        <v>Met</v>
      </c>
      <c r="F6" s="9">
        <v>11</v>
      </c>
      <c r="G6" s="10">
        <v>5</v>
      </c>
      <c r="H6" s="11">
        <f>IF(S6=0,"",SUMIFS('Raw Data'!$E$2:$E$26,'Raw Data'!$B$2:$B$26,$A6))</f>
        <v>5</v>
      </c>
      <c r="I6" s="8" t="str">
        <f>IF(H6="","",IF(H6&lt;=G6,"Met","Missed"))</f>
        <v>Met</v>
      </c>
      <c r="J6" s="12">
        <v>0.6</v>
      </c>
      <c r="K6" s="13">
        <v>0.2</v>
      </c>
      <c r="L6" s="14">
        <f>IF(S6=0,"",COUNTIFS('Raw Data'!$B$2:$B$26,$A6,'Raw Data'!$F$2:$F$26,"Y")/S6)</f>
        <v>0.4</v>
      </c>
      <c r="M6" s="8" t="str">
        <f>IF(L6="","",IF(L6&lt;=K6,"Met","Missed"))</f>
        <v>Missed</v>
      </c>
      <c r="N6" s="5">
        <v>3</v>
      </c>
      <c r="O6" s="6">
        <v>4</v>
      </c>
      <c r="P6" s="7">
        <f>IFERROR(AVERAGEIFS('Raw Data'!$G$2:$G$26,'Raw Data'!$B$2:$B$26,$A6),"")</f>
        <v>4.5999999999999996</v>
      </c>
      <c r="Q6" s="8" t="str">
        <f>IF(P6="","",IF(P6&gt;=O6,"Met","Missed"))</f>
        <v>Met</v>
      </c>
      <c r="R6" s="14">
        <f>IF(S6=0,"",COUNTIFS('Raw Data'!$B$2:$B$26,$A6,'Raw Data'!$C$2:$C$26,"Y")/S6)</f>
        <v>1</v>
      </c>
      <c r="S6" s="9">
        <f>(COUNTIFS('Raw Data'!$B$2:$B$26,$A6,'Raw Data'!$C$2:$C$26,"Y")+COUNTIFS('Raw Data'!$B$2:$B$26,$A6,'Raw Data'!$C$2:$C$26,"N"))</f>
        <v>5</v>
      </c>
    </row>
    <row r="7" spans="1:19" x14ac:dyDescent="0.35">
      <c r="A7" s="4" t="s">
        <v>23</v>
      </c>
      <c r="B7" s="5">
        <v>72</v>
      </c>
      <c r="C7" s="6">
        <v>45</v>
      </c>
      <c r="D7" s="7">
        <f>IFERROR(AVERAGEIFS('Raw Data'!$D$2:$D$26,'Raw Data'!$B$2:$B$26,$A7),"")</f>
        <v>29</v>
      </c>
      <c r="E7" s="8" t="str">
        <f>IF(D7="","",IF(D7&lt;=C7,"Met","Missed"))</f>
        <v>Met</v>
      </c>
      <c r="F7" s="9">
        <v>8</v>
      </c>
      <c r="G7" s="10">
        <v>4</v>
      </c>
      <c r="H7" s="11">
        <f>IF(S7=0,"",SUMIFS('Raw Data'!$E$2:$E$26,'Raw Data'!$B$2:$B$26,$A7))</f>
        <v>6</v>
      </c>
      <c r="I7" s="8" t="str">
        <f>IF(H7="","",IF(H7&lt;=G7,"Met","Missed"))</f>
        <v>Missed</v>
      </c>
      <c r="J7" s="12">
        <v>0.6</v>
      </c>
      <c r="K7" s="13">
        <v>0.2</v>
      </c>
      <c r="L7" s="14">
        <f>IF(S7=0,"",COUNTIFS('Raw Data'!$B$2:$B$26,$A7,'Raw Data'!$F$2:$F$26,"Y")/S7)</f>
        <v>0.2</v>
      </c>
      <c r="M7" s="8" t="str">
        <f>IF(L7="","",IF(L7&lt;=K7,"Met","Missed"))</f>
        <v>Met</v>
      </c>
      <c r="N7" s="5">
        <v>3</v>
      </c>
      <c r="O7" s="6">
        <v>4</v>
      </c>
      <c r="P7" s="7">
        <f>IFERROR(AVERAGEIFS('Raw Data'!$G$2:$G$26,'Raw Data'!$B$2:$B$26,$A7),"")</f>
        <v>4.8</v>
      </c>
      <c r="Q7" s="8" t="str">
        <f>IF(P7="","",IF(P7&gt;=O7,"Met","Missed"))</f>
        <v>Met</v>
      </c>
      <c r="R7" s="14">
        <f>IF(S7=0,"",COUNTIFS('Raw Data'!$B$2:$B$26,$A7,'Raw Data'!$C$2:$C$26,"Y")/S7)</f>
        <v>1</v>
      </c>
      <c r="S7" s="9">
        <f>(COUNTIFS('Raw Data'!$B$2:$B$26,$A7,'Raw Data'!$C$2:$C$26,"Y")+COUNTIFS('Raw Data'!$B$2:$B$26,$A7,'Raw Data'!$C$2:$C$26,"N"))</f>
        <v>5</v>
      </c>
    </row>
    <row r="8" spans="1:19" x14ac:dyDescent="0.35">
      <c r="A8" s="4" t="s">
        <v>24</v>
      </c>
      <c r="B8" s="5">
        <v>45.4</v>
      </c>
      <c r="C8" s="6">
        <v>30</v>
      </c>
      <c r="D8" s="7">
        <f>IFERROR(AVERAGEIFS('Raw Data'!$D$2:$D$26,'Raw Data'!$B$2:$B$26,$A8),"")</f>
        <v>22.2</v>
      </c>
      <c r="E8" s="8" t="str">
        <f>IF(D8="","",IF(D8&lt;=C8,"Met","Missed"))</f>
        <v>Met</v>
      </c>
      <c r="F8" s="9">
        <v>4</v>
      </c>
      <c r="G8" s="10">
        <v>2</v>
      </c>
      <c r="H8" s="11">
        <f>IF(S8=0,"",SUMIFS('Raw Data'!$E$2:$E$26,'Raw Data'!$B$2:$B$26,$A8))</f>
        <v>2</v>
      </c>
      <c r="I8" s="8" t="str">
        <f>IF(H8="","",IF(H8&lt;=G8,"Met","Missed"))</f>
        <v>Met</v>
      </c>
      <c r="J8" s="12">
        <v>0.2</v>
      </c>
      <c r="K8" s="13">
        <v>0</v>
      </c>
      <c r="L8" s="14">
        <f>IF(S8=0,"",COUNTIFS('Raw Data'!$B$2:$B$26,$A8,'Raw Data'!$F$2:$F$26,"Y")/S8)</f>
        <v>0.2</v>
      </c>
      <c r="M8" s="8" t="str">
        <f>IF(L8="","",IF(L8&lt;=K8,"Met","Missed"))</f>
        <v>Missed</v>
      </c>
      <c r="N8" s="5">
        <v>3.8</v>
      </c>
      <c r="O8" s="6">
        <v>4.2</v>
      </c>
      <c r="P8" s="7">
        <f>IFERROR(AVERAGEIFS('Raw Data'!$G$2:$G$26,'Raw Data'!$B$2:$B$26,$A8),"")</f>
        <v>4.8</v>
      </c>
      <c r="Q8" s="8" t="str">
        <f>IF(P8="","",IF(P8&gt;=O8,"Met","Missed"))</f>
        <v>Met</v>
      </c>
      <c r="R8" s="14">
        <f>IF(S8=0,"",COUNTIFS('Raw Data'!$B$2:$B$26,$A8,'Raw Data'!$C$2:$C$26,"Y")/S8)</f>
        <v>1</v>
      </c>
      <c r="S8" s="9">
        <f>(COUNTIFS('Raw Data'!$B$2:$B$26,$A8,'Raw Data'!$C$2:$C$26,"Y")+COUNTIFS('Raw Data'!$B$2:$B$26,$A8,'Raw Data'!$C$2:$C$26,"N"))</f>
        <v>5</v>
      </c>
    </row>
    <row r="9" spans="1:19" x14ac:dyDescent="0.35">
      <c r="A9" s="4" t="s">
        <v>25</v>
      </c>
      <c r="B9" s="5">
        <v>10.4</v>
      </c>
      <c r="C9" s="6">
        <v>10.4</v>
      </c>
      <c r="D9" s="7">
        <f>IFERROR(AVERAGEIFS('Raw Data'!$D$2:$D$26,'Raw Data'!$B$2:$B$26,$A9),"")</f>
        <v>6</v>
      </c>
      <c r="E9" s="8" t="str">
        <f>IF(D9="","",IF(D9&lt;=C9,"Met","Missed"))</f>
        <v>Met</v>
      </c>
      <c r="F9" s="9">
        <v>2</v>
      </c>
      <c r="G9" s="10">
        <v>2</v>
      </c>
      <c r="H9" s="11">
        <f>IF(S9=0,"",SUMIFS('Raw Data'!$E$2:$E$26,'Raw Data'!$B$2:$B$26,$A9))</f>
        <v>2</v>
      </c>
      <c r="I9" s="8" t="str">
        <f>IF(H9="","",IF(H9&lt;=G9,"Met","Missed"))</f>
        <v>Met</v>
      </c>
      <c r="J9" s="12">
        <v>0</v>
      </c>
      <c r="K9" s="13">
        <v>0</v>
      </c>
      <c r="L9" s="14">
        <f>IF(S9=0,"",COUNTIFS('Raw Data'!$B$2:$B$26,$A9,'Raw Data'!$F$2:$F$26,"Y")/S9)</f>
        <v>0</v>
      </c>
      <c r="M9" s="8" t="str">
        <f>IF(L9="","",IF(L9&lt;=K9,"Met","Missed"))</f>
        <v>Met</v>
      </c>
      <c r="N9" s="5">
        <v>4.5999999999999996</v>
      </c>
      <c r="O9" s="6">
        <v>4.5999999999999996</v>
      </c>
      <c r="P9" s="7">
        <f>IFERROR(AVERAGEIFS('Raw Data'!$G$2:$G$26,'Raw Data'!$B$2:$B$26,$A9),"")</f>
        <v>4.5999999999999996</v>
      </c>
      <c r="Q9" s="8" t="str">
        <f>IF(P9="","",IF(P9&gt;=O9,"Met","Missed"))</f>
        <v>Met</v>
      </c>
      <c r="R9" s="14">
        <f>IF(S9=0,"",COUNTIFS('Raw Data'!$B$2:$B$26,$A9,'Raw Data'!$C$2:$C$26,"Y")/S9)</f>
        <v>1</v>
      </c>
      <c r="S9" s="9">
        <f>(COUNTIFS('Raw Data'!$B$2:$B$26,$A9,'Raw Data'!$C$2:$C$26,"Y")+COUNTIFS('Raw Data'!$B$2:$B$26,$A9,'Raw Data'!$C$2:$C$26,"N"))</f>
        <v>5</v>
      </c>
    </row>
    <row r="11" spans="1:19" ht="15.5" x14ac:dyDescent="0.35">
      <c r="A11" s="15" t="s">
        <v>26</v>
      </c>
    </row>
    <row r="12" spans="1:19" ht="27.75" customHeight="1" x14ac:dyDescent="0.35">
      <c r="A12" s="16" t="s">
        <v>27</v>
      </c>
      <c r="B12" s="11">
        <f>COUNTIF(E5:E9,"Met")+COUNTIF(I5:I9,"Met")+COUNTIF(M5:M9,"Met")+COUNTIF(Q5:Q9,"Met")</f>
        <v>17</v>
      </c>
    </row>
    <row r="13" spans="1:19" ht="27.75" customHeight="1" x14ac:dyDescent="0.35">
      <c r="A13" s="16" t="s">
        <v>28</v>
      </c>
      <c r="B13" s="11">
        <f>COUNTIF(E5:E9,"Missed")+COUNTIF(I5:I9,"Missed")+COUNTIF(M5:M9,"Missed")+COUNTIF(Q5:Q9,"Missed")</f>
        <v>3</v>
      </c>
    </row>
    <row r="14" spans="1:19" ht="27.75" customHeight="1" x14ac:dyDescent="0.35">
      <c r="A14" s="16" t="s">
        <v>29</v>
      </c>
      <c r="B14" s="14">
        <f>IF(SUM(S5:S9)=0,"",COUNTIF('Raw Data'!$C$2:$C$26,"Y")/SUM(S5:S9))</f>
        <v>1</v>
      </c>
    </row>
    <row r="15" spans="1:19" ht="27.75" customHeight="1" x14ac:dyDescent="0.35">
      <c r="A15" s="16" t="s">
        <v>30</v>
      </c>
      <c r="B15" s="11">
        <f>SUM(S5:S9)</f>
        <v>25</v>
      </c>
    </row>
    <row r="17" spans="1:6" ht="15.5" x14ac:dyDescent="0.35">
      <c r="A17" s="15" t="s">
        <v>31</v>
      </c>
    </row>
    <row r="18" spans="1:6" ht="26" x14ac:dyDescent="0.35">
      <c r="A18" s="3" t="s">
        <v>2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36</v>
      </c>
    </row>
    <row r="19" spans="1:6" ht="25" x14ac:dyDescent="0.35">
      <c r="A19" s="17" t="str">
        <f>A5</f>
        <v>Search</v>
      </c>
      <c r="B19" s="18" t="str">
        <f>TEXT(B5,"0.0")&amp;" s → ≤ "&amp;TEXT(C5,"0.0")&amp;" s"</f>
        <v>12.4 s → ≤ 10.0 s</v>
      </c>
      <c r="C19" s="18" t="str">
        <f>IF(D5="","",TEXT(D5,"0.0"))</f>
        <v>3.2</v>
      </c>
      <c r="D19" s="18">
        <f>H5</f>
        <v>0</v>
      </c>
      <c r="E19" s="18" t="str">
        <f>IF(L5="","",TEXT(L5,"0%"))</f>
        <v>0%</v>
      </c>
      <c r="F19" s="18" t="str">
        <f>IF(P5="","",TEXT(P5,"0.0"))</f>
        <v>5.0</v>
      </c>
    </row>
    <row r="20" spans="1:6" ht="25" x14ac:dyDescent="0.35">
      <c r="A20" s="17" t="str">
        <f>A6</f>
        <v>Buy</v>
      </c>
      <c r="B20" s="18" t="str">
        <f>TEXT(B6,"0.0")&amp;" s → ≤ "&amp;TEXT(C6,"0.0")&amp;" s"</f>
        <v>69.4 s → ≤ 45.0 s</v>
      </c>
      <c r="C20" s="18" t="str">
        <f>IF(D6="","",TEXT(D6,"0.0"))</f>
        <v>29.6</v>
      </c>
      <c r="D20" s="18">
        <f>H6</f>
        <v>5</v>
      </c>
      <c r="E20" s="18" t="str">
        <f>IF(L6="","",TEXT(L6,"0%"))</f>
        <v>40%</v>
      </c>
      <c r="F20" s="18" t="str">
        <f>IF(P6="","",TEXT(P6,"0.0"))</f>
        <v>4.6</v>
      </c>
    </row>
    <row r="21" spans="1:6" ht="25" x14ac:dyDescent="0.35">
      <c r="A21" s="17" t="str">
        <f>A7</f>
        <v>Sell</v>
      </c>
      <c r="B21" s="18" t="str">
        <f>TEXT(B7,"0.0")&amp;" s → ≤ "&amp;TEXT(C7,"0.0")&amp;" s"</f>
        <v>72.0 s → ≤ 45.0 s</v>
      </c>
      <c r="C21" s="18" t="str">
        <f>IF(D7="","",TEXT(D7,"0.0"))</f>
        <v>29.0</v>
      </c>
      <c r="D21" s="18">
        <f>H7</f>
        <v>6</v>
      </c>
      <c r="E21" s="18" t="str">
        <f>IF(L7="","",TEXT(L7,"0%"))</f>
        <v>20%</v>
      </c>
      <c r="F21" s="18" t="str">
        <f>IF(P7="","",TEXT(P7,"0.0"))</f>
        <v>4.8</v>
      </c>
    </row>
    <row r="22" spans="1:6" ht="25" x14ac:dyDescent="0.35">
      <c r="A22" s="17" t="str">
        <f>A8</f>
        <v>Bank transfer</v>
      </c>
      <c r="B22" s="18" t="str">
        <f>TEXT(B8,"0.0")&amp;" s → ≤ "&amp;TEXT(C8,"0.0")&amp;" s"</f>
        <v>45.4 s → ≤ 30.0 s</v>
      </c>
      <c r="C22" s="18" t="str">
        <f>IF(D8="","",TEXT(D8,"0.0"))</f>
        <v>22.2</v>
      </c>
      <c r="D22" s="18">
        <f>H8</f>
        <v>2</v>
      </c>
      <c r="E22" s="18" t="str">
        <f>IF(L8="","",TEXT(L8,"0%"))</f>
        <v>20%</v>
      </c>
      <c r="F22" s="18" t="str">
        <f>IF(P8="","",TEXT(P8,"0.0"))</f>
        <v>4.8</v>
      </c>
    </row>
    <row r="23" spans="1:6" ht="25" x14ac:dyDescent="0.35">
      <c r="A23" s="17" t="str">
        <f>A9</f>
        <v>Chatbot</v>
      </c>
      <c r="B23" s="18" t="str">
        <f>TEXT(B9,"0.0")&amp;" s → ≤ "&amp;TEXT(C9,"0.0")&amp;" s"</f>
        <v>10.4 s → ≤ 10.4 s</v>
      </c>
      <c r="C23" s="18" t="str">
        <f>IF(D9="","",TEXT(D9,"0.0"))</f>
        <v>6.0</v>
      </c>
      <c r="D23" s="18">
        <f>H9</f>
        <v>2</v>
      </c>
      <c r="E23" s="18" t="str">
        <f>IF(L9="","",TEXT(L9,"0%"))</f>
        <v>0%</v>
      </c>
      <c r="F23" s="18" t="str">
        <f>IF(P9="","",TEXT(P9,"0.0"))</f>
        <v>4.6</v>
      </c>
    </row>
  </sheetData>
  <conditionalFormatting sqref="E5:Q9">
    <cfRule type="cellIs" dxfId="1" priority="2" operator="equal">
      <formula>"Met"</formula>
    </cfRule>
    <cfRule type="cellIs" dxfId="0" priority="3" operator="equal">
      <formula>"Missed"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zoomScaleNormal="100" workbookViewId="0">
      <pane ySplit="1" topLeftCell="A2" activePane="bottomLeft" state="frozen"/>
      <selection pane="bottomLeft" activeCell="D30" sqref="D30"/>
    </sheetView>
  </sheetViews>
  <sheetFormatPr defaultColWidth="8.6328125" defaultRowHeight="14.5" x14ac:dyDescent="0.35"/>
  <cols>
    <col min="1" max="1" width="13" customWidth="1"/>
    <col min="2" max="3" width="15" customWidth="1"/>
    <col min="4" max="4" width="11" customWidth="1"/>
    <col min="5" max="5" width="13" customWidth="1"/>
    <col min="6" max="6" width="15" customWidth="1"/>
    <col min="7" max="7" width="11" customWidth="1"/>
    <col min="8" max="8" width="60" customWidth="1"/>
  </cols>
  <sheetData>
    <row r="1" spans="1:8" ht="31.5" customHeight="1" x14ac:dyDescent="0.35">
      <c r="A1" s="3" t="s">
        <v>37</v>
      </c>
      <c r="B1" s="3" t="s">
        <v>2</v>
      </c>
      <c r="C1" s="3" t="s">
        <v>38</v>
      </c>
      <c r="D1" s="3" t="s">
        <v>33</v>
      </c>
      <c r="E1" s="3" t="s">
        <v>39</v>
      </c>
      <c r="F1" s="3" t="s">
        <v>40</v>
      </c>
      <c r="G1" s="3" t="s">
        <v>49</v>
      </c>
      <c r="H1" s="3" t="s">
        <v>48</v>
      </c>
    </row>
    <row r="2" spans="1:8" x14ac:dyDescent="0.35">
      <c r="A2" s="19" t="s">
        <v>41</v>
      </c>
      <c r="B2" s="19" t="s">
        <v>21</v>
      </c>
      <c r="C2" s="20" t="s">
        <v>46</v>
      </c>
      <c r="D2" s="20">
        <v>6</v>
      </c>
      <c r="E2" s="20">
        <v>0</v>
      </c>
      <c r="F2" s="20" t="s">
        <v>47</v>
      </c>
      <c r="G2" s="20">
        <v>5</v>
      </c>
      <c r="H2" s="21" t="s">
        <v>51</v>
      </c>
    </row>
    <row r="3" spans="1:8" x14ac:dyDescent="0.35">
      <c r="A3" s="19" t="s">
        <v>41</v>
      </c>
      <c r="B3" s="19" t="s">
        <v>22</v>
      </c>
      <c r="C3" s="20" t="s">
        <v>46</v>
      </c>
      <c r="D3" s="20">
        <v>32</v>
      </c>
      <c r="E3" s="20">
        <v>1</v>
      </c>
      <c r="F3" s="20" t="s">
        <v>46</v>
      </c>
      <c r="G3" s="20">
        <v>5</v>
      </c>
      <c r="H3" s="21" t="s">
        <v>52</v>
      </c>
    </row>
    <row r="4" spans="1:8" x14ac:dyDescent="0.35">
      <c r="A4" s="19" t="s">
        <v>41</v>
      </c>
      <c r="B4" s="19" t="s">
        <v>23</v>
      </c>
      <c r="C4" s="20" t="s">
        <v>46</v>
      </c>
      <c r="D4" s="20">
        <v>34</v>
      </c>
      <c r="E4" s="20">
        <v>1</v>
      </c>
      <c r="F4" s="20" t="s">
        <v>47</v>
      </c>
      <c r="G4" s="20">
        <v>5</v>
      </c>
      <c r="H4" s="21" t="s">
        <v>53</v>
      </c>
    </row>
    <row r="5" spans="1:8" x14ac:dyDescent="0.35">
      <c r="A5" s="19" t="s">
        <v>41</v>
      </c>
      <c r="B5" s="19" t="s">
        <v>24</v>
      </c>
      <c r="C5" s="20" t="s">
        <v>46</v>
      </c>
      <c r="D5" s="20">
        <v>17</v>
      </c>
      <c r="E5" s="20">
        <v>0</v>
      </c>
      <c r="F5" s="20" t="s">
        <v>47</v>
      </c>
      <c r="G5" s="20">
        <v>5</v>
      </c>
      <c r="H5" s="21" t="s">
        <v>54</v>
      </c>
    </row>
    <row r="6" spans="1:8" x14ac:dyDescent="0.35">
      <c r="A6" s="19" t="s">
        <v>41</v>
      </c>
      <c r="B6" s="19" t="s">
        <v>25</v>
      </c>
      <c r="C6" s="20" t="s">
        <v>46</v>
      </c>
      <c r="D6" s="20">
        <v>4</v>
      </c>
      <c r="E6" s="20">
        <v>0</v>
      </c>
      <c r="F6" s="20" t="s">
        <v>47</v>
      </c>
      <c r="G6" s="20">
        <v>5</v>
      </c>
      <c r="H6" s="21" t="s">
        <v>50</v>
      </c>
    </row>
    <row r="7" spans="1:8" x14ac:dyDescent="0.35">
      <c r="A7" s="22" t="s">
        <v>42</v>
      </c>
      <c r="B7" s="22" t="s">
        <v>21</v>
      </c>
      <c r="C7" s="23" t="s">
        <v>46</v>
      </c>
      <c r="D7" s="23">
        <v>2</v>
      </c>
      <c r="E7" s="23">
        <v>0</v>
      </c>
      <c r="F7" s="23" t="s">
        <v>47</v>
      </c>
      <c r="G7" s="23">
        <v>5</v>
      </c>
      <c r="H7" s="24" t="s">
        <v>55</v>
      </c>
    </row>
    <row r="8" spans="1:8" x14ac:dyDescent="0.35">
      <c r="A8" s="22" t="s">
        <v>42</v>
      </c>
      <c r="B8" s="22" t="s">
        <v>22</v>
      </c>
      <c r="C8" s="23" t="s">
        <v>46</v>
      </c>
      <c r="D8" s="23">
        <v>22</v>
      </c>
      <c r="E8" s="23">
        <v>0</v>
      </c>
      <c r="F8" s="23" t="s">
        <v>47</v>
      </c>
      <c r="G8" s="23">
        <v>5</v>
      </c>
      <c r="H8" s="24" t="s">
        <v>56</v>
      </c>
    </row>
    <row r="9" spans="1:8" x14ac:dyDescent="0.35">
      <c r="A9" s="22" t="s">
        <v>42</v>
      </c>
      <c r="B9" s="22" t="s">
        <v>23</v>
      </c>
      <c r="C9" s="23" t="s">
        <v>46</v>
      </c>
      <c r="D9" s="23">
        <v>24</v>
      </c>
      <c r="E9" s="23">
        <v>0</v>
      </c>
      <c r="F9" s="23" t="s">
        <v>47</v>
      </c>
      <c r="G9" s="23">
        <v>5</v>
      </c>
      <c r="H9" s="24" t="s">
        <v>57</v>
      </c>
    </row>
    <row r="10" spans="1:8" x14ac:dyDescent="0.35">
      <c r="A10" s="22" t="s">
        <v>42</v>
      </c>
      <c r="B10" s="22" t="s">
        <v>24</v>
      </c>
      <c r="C10" s="23" t="s">
        <v>46</v>
      </c>
      <c r="D10" s="23">
        <v>23</v>
      </c>
      <c r="E10" s="23">
        <v>0</v>
      </c>
      <c r="F10" s="23" t="s">
        <v>47</v>
      </c>
      <c r="G10" s="23">
        <v>5</v>
      </c>
      <c r="H10" s="24"/>
    </row>
    <row r="11" spans="1:8" x14ac:dyDescent="0.35">
      <c r="A11" s="22" t="s">
        <v>42</v>
      </c>
      <c r="B11" s="22" t="s">
        <v>25</v>
      </c>
      <c r="C11" s="23" t="s">
        <v>46</v>
      </c>
      <c r="D11" s="23">
        <v>2</v>
      </c>
      <c r="E11" s="23">
        <v>0</v>
      </c>
      <c r="F11" s="23" t="s">
        <v>47</v>
      </c>
      <c r="G11" s="23">
        <v>4</v>
      </c>
      <c r="H11" s="24" t="s">
        <v>58</v>
      </c>
    </row>
    <row r="12" spans="1:8" x14ac:dyDescent="0.35">
      <c r="A12" s="28" t="s">
        <v>43</v>
      </c>
      <c r="B12" s="28" t="s">
        <v>21</v>
      </c>
      <c r="C12" s="29" t="s">
        <v>46</v>
      </c>
      <c r="D12" s="29">
        <v>2</v>
      </c>
      <c r="E12" s="29">
        <v>0</v>
      </c>
      <c r="F12" s="29" t="s">
        <v>47</v>
      </c>
      <c r="G12" s="29">
        <v>5</v>
      </c>
      <c r="H12" s="30"/>
    </row>
    <row r="13" spans="1:8" x14ac:dyDescent="0.35">
      <c r="A13" s="28" t="s">
        <v>43</v>
      </c>
      <c r="B13" s="28" t="s">
        <v>22</v>
      </c>
      <c r="C13" s="29" t="s">
        <v>46</v>
      </c>
      <c r="D13" s="29">
        <v>28</v>
      </c>
      <c r="E13" s="29">
        <v>1</v>
      </c>
      <c r="F13" s="29" t="s">
        <v>47</v>
      </c>
      <c r="G13" s="29">
        <v>4</v>
      </c>
      <c r="H13" s="30" t="s">
        <v>59</v>
      </c>
    </row>
    <row r="14" spans="1:8" x14ac:dyDescent="0.35">
      <c r="A14" s="28" t="s">
        <v>43</v>
      </c>
      <c r="B14" s="28" t="s">
        <v>23</v>
      </c>
      <c r="C14" s="29" t="s">
        <v>46</v>
      </c>
      <c r="D14" s="29">
        <v>29</v>
      </c>
      <c r="E14" s="29">
        <v>2</v>
      </c>
      <c r="F14" s="29" t="s">
        <v>46</v>
      </c>
      <c r="G14" s="29">
        <v>4</v>
      </c>
      <c r="H14" s="30" t="s">
        <v>60</v>
      </c>
    </row>
    <row r="15" spans="1:8" x14ac:dyDescent="0.35">
      <c r="A15" s="28" t="s">
        <v>43</v>
      </c>
      <c r="B15" s="28" t="s">
        <v>24</v>
      </c>
      <c r="C15" s="29" t="s">
        <v>46</v>
      </c>
      <c r="D15" s="29">
        <v>24</v>
      </c>
      <c r="E15" s="29">
        <v>1</v>
      </c>
      <c r="F15" s="29" t="s">
        <v>46</v>
      </c>
      <c r="G15" s="29">
        <v>4</v>
      </c>
      <c r="H15" s="30" t="s">
        <v>54</v>
      </c>
    </row>
    <row r="16" spans="1:8" x14ac:dyDescent="0.35">
      <c r="A16" s="28" t="s">
        <v>43</v>
      </c>
      <c r="B16" s="28" t="s">
        <v>25</v>
      </c>
      <c r="C16" s="29" t="s">
        <v>46</v>
      </c>
      <c r="D16" s="29">
        <v>5</v>
      </c>
      <c r="E16" s="29">
        <v>0</v>
      </c>
      <c r="F16" s="29" t="s">
        <v>47</v>
      </c>
      <c r="G16" s="29">
        <v>5</v>
      </c>
      <c r="H16" s="30"/>
    </row>
    <row r="17" spans="1:8" x14ac:dyDescent="0.35">
      <c r="A17" s="25" t="s">
        <v>44</v>
      </c>
      <c r="B17" s="25" t="s">
        <v>21</v>
      </c>
      <c r="C17" s="26" t="s">
        <v>46</v>
      </c>
      <c r="D17" s="26">
        <v>3</v>
      </c>
      <c r="E17" s="26">
        <v>0</v>
      </c>
      <c r="F17" s="26" t="s">
        <v>47</v>
      </c>
      <c r="G17" s="26">
        <v>5</v>
      </c>
      <c r="H17" s="27" t="s">
        <v>61</v>
      </c>
    </row>
    <row r="18" spans="1:8" x14ac:dyDescent="0.35">
      <c r="A18" s="25" t="s">
        <v>44</v>
      </c>
      <c r="B18" s="25" t="s">
        <v>22</v>
      </c>
      <c r="C18" s="26" t="s">
        <v>46</v>
      </c>
      <c r="D18" s="26">
        <v>31</v>
      </c>
      <c r="E18" s="26">
        <v>2</v>
      </c>
      <c r="F18" s="26" t="s">
        <v>46</v>
      </c>
      <c r="G18" s="26">
        <v>4</v>
      </c>
      <c r="H18" s="27" t="s">
        <v>62</v>
      </c>
    </row>
    <row r="19" spans="1:8" x14ac:dyDescent="0.35">
      <c r="A19" s="25" t="s">
        <v>44</v>
      </c>
      <c r="B19" s="25" t="s">
        <v>23</v>
      </c>
      <c r="C19" s="26" t="s">
        <v>46</v>
      </c>
      <c r="D19" s="26">
        <v>29</v>
      </c>
      <c r="E19" s="26">
        <v>1</v>
      </c>
      <c r="F19" s="26" t="s">
        <v>47</v>
      </c>
      <c r="G19" s="26">
        <v>5</v>
      </c>
      <c r="H19" s="27" t="s">
        <v>63</v>
      </c>
    </row>
    <row r="20" spans="1:8" x14ac:dyDescent="0.35">
      <c r="A20" s="25" t="s">
        <v>44</v>
      </c>
      <c r="B20" s="25" t="s">
        <v>24</v>
      </c>
      <c r="C20" s="26" t="s">
        <v>46</v>
      </c>
      <c r="D20" s="26">
        <v>26</v>
      </c>
      <c r="E20" s="26">
        <v>1</v>
      </c>
      <c r="F20" s="26" t="s">
        <v>47</v>
      </c>
      <c r="G20" s="26">
        <v>5</v>
      </c>
      <c r="H20" s="27" t="s">
        <v>64</v>
      </c>
    </row>
    <row r="21" spans="1:8" x14ac:dyDescent="0.35">
      <c r="A21" s="25" t="s">
        <v>44</v>
      </c>
      <c r="B21" s="25" t="s">
        <v>25</v>
      </c>
      <c r="C21" s="26" t="s">
        <v>46</v>
      </c>
      <c r="D21" s="26">
        <v>9</v>
      </c>
      <c r="E21" s="26">
        <v>1</v>
      </c>
      <c r="F21" s="26" t="s">
        <v>47</v>
      </c>
      <c r="G21" s="26">
        <v>5</v>
      </c>
      <c r="H21" s="27" t="s">
        <v>65</v>
      </c>
    </row>
    <row r="22" spans="1:8" x14ac:dyDescent="0.35">
      <c r="A22" s="31" t="s">
        <v>45</v>
      </c>
      <c r="B22" s="31" t="s">
        <v>21</v>
      </c>
      <c r="C22" s="32" t="s">
        <v>46</v>
      </c>
      <c r="D22" s="32">
        <v>3</v>
      </c>
      <c r="E22" s="32">
        <v>0</v>
      </c>
      <c r="F22" s="32" t="s">
        <v>47</v>
      </c>
      <c r="G22" s="32">
        <v>5</v>
      </c>
      <c r="H22" s="33" t="s">
        <v>66</v>
      </c>
    </row>
    <row r="23" spans="1:8" x14ac:dyDescent="0.35">
      <c r="A23" s="31" t="s">
        <v>45</v>
      </c>
      <c r="B23" s="31" t="s">
        <v>22</v>
      </c>
      <c r="C23" s="32" t="s">
        <v>46</v>
      </c>
      <c r="D23" s="32">
        <v>35</v>
      </c>
      <c r="E23" s="32">
        <v>1</v>
      </c>
      <c r="F23" s="32" t="s">
        <v>47</v>
      </c>
      <c r="G23" s="32">
        <v>5</v>
      </c>
      <c r="H23" s="33" t="s">
        <v>67</v>
      </c>
    </row>
    <row r="24" spans="1:8" x14ac:dyDescent="0.35">
      <c r="A24" s="31" t="s">
        <v>45</v>
      </c>
      <c r="B24" s="31" t="s">
        <v>23</v>
      </c>
      <c r="C24" s="32" t="s">
        <v>46</v>
      </c>
      <c r="D24" s="32">
        <v>29</v>
      </c>
      <c r="E24" s="32">
        <v>2</v>
      </c>
      <c r="F24" s="32" t="s">
        <v>47</v>
      </c>
      <c r="G24" s="32">
        <v>5</v>
      </c>
      <c r="H24" s="33" t="s">
        <v>68</v>
      </c>
    </row>
    <row r="25" spans="1:8" x14ac:dyDescent="0.35">
      <c r="A25" s="31" t="s">
        <v>45</v>
      </c>
      <c r="B25" s="31" t="s">
        <v>24</v>
      </c>
      <c r="C25" s="32" t="s">
        <v>46</v>
      </c>
      <c r="D25" s="32">
        <v>21</v>
      </c>
      <c r="E25" s="32">
        <v>0</v>
      </c>
      <c r="F25" s="32" t="s">
        <v>47</v>
      </c>
      <c r="G25" s="32">
        <v>5</v>
      </c>
      <c r="H25" s="33" t="s">
        <v>63</v>
      </c>
    </row>
    <row r="26" spans="1:8" x14ac:dyDescent="0.35">
      <c r="A26" s="31" t="s">
        <v>45</v>
      </c>
      <c r="B26" s="31" t="s">
        <v>25</v>
      </c>
      <c r="C26" s="32" t="s">
        <v>46</v>
      </c>
      <c r="D26" s="32">
        <v>10</v>
      </c>
      <c r="E26" s="32">
        <v>1</v>
      </c>
      <c r="F26" s="32" t="s">
        <v>47</v>
      </c>
      <c r="G26" s="32">
        <v>4</v>
      </c>
      <c r="H26" s="33"/>
    </row>
  </sheetData>
  <dataValidations count="4">
    <dataValidation type="list" allowBlank="1" showErrorMessage="1" error="Enter Y or N" sqref="F2:F26 C2:C26" xr:uid="{00000000-0002-0000-0200-000000000000}">
      <formula1>"Y,N"</formula1>
      <formula2>0</formula2>
    </dataValidation>
    <dataValidation type="decimal" allowBlank="1" showErrorMessage="1" error="Time must be 0–120 s (task cap)" sqref="D2:D26" xr:uid="{00000000-0002-0000-0200-000001000000}">
      <formula1>0</formula1>
      <formula2>120</formula2>
    </dataValidation>
    <dataValidation type="whole" operator="greaterThanOrEqual" allowBlank="1" showErrorMessage="1" error="Whole number ≥ 0" sqref="E2:E26" xr:uid="{00000000-0002-0000-0200-000002000000}">
      <formula1>0</formula1>
      <formula2>0</formula2>
    </dataValidation>
    <dataValidation type="whole" allowBlank="1" showErrorMessage="1" error="Enter 1–5" sqref="G2:G26" xr:uid="{00000000-0002-0000-0200-000003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Udith Jayasinghe</dc:creator>
  <dc:description/>
  <cp:lastModifiedBy>Udith Madushan Jayasinghe JAYASINGHE ARACHCHIGE</cp:lastModifiedBy>
  <cp:revision>0</cp:revision>
  <dcterms:created xsi:type="dcterms:W3CDTF">2026-10-15T01:28:10Z</dcterms:created>
  <dcterms:modified xsi:type="dcterms:W3CDTF">2026-10-16T11:13:18Z</dcterms:modified>
  <dc:language>en-US</dc:language>
</cp:coreProperties>
</file>